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OI-beregner" sheetId="1" state="visible" r:id="rId3"/>
    <sheet name="Referencepriser (DK)" sheetId="2" state="visible" r:id="rId4"/>
    <sheet name="Eksempel (udfyldt)" sheetId="3" state="visible" r:id="rId5"/>
    <sheet name="Eksempel A - Vestkyst Regnskab" sheetId="4" state="visible" r:id="rId6"/>
    <sheet name="Eksempel B - Havneby Logistik" sheetId="5" state="visible" r:id="rId7"/>
    <sheet name="Eksempel C - Lindholm Vinhandel" sheetId="6"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Engangsbeløb for at bygge agenten + løbende brugsbaseret betaling for AI-kald (pr. token) og fast hosting. Alternativ: købt platform (flat-rate abonnement, fx Tendium) – se build vs. buy i guiden.</t>
        </r>
      </text>
    </comment>
    <comment ref="B8" authorId="0">
      <text>
        <r>
          <rPr>
            <sz val="10"/>
            <rFont val="Arial"/>
            <family val="2"/>
          </rPr>
          <t xml:space="preserve">Antagelse: 60 timer opsætning, prompts, videnbank og test × 1.200 kr./time (junior AI-konsulent 1.000–1.500 kr./time, kursets referencepriser, aienterprisekonsulenten.dk 2025, vejledende).</t>
        </r>
      </text>
    </comment>
    <comment ref="B9" authorId="0">
      <text>
        <r>
          <rPr>
            <sz val="10"/>
            <rFont val="Arial"/>
            <family val="2"/>
          </rPr>
          <t xml:space="preserve">Antagelse pr. måned: AI-kald ca. 50 kr. (ca. 25 analyserede udbud × ca. 2 kr. – erstat med målt pris fra testen) + hosting ca. 250 kr. + vedligehold af videnbank og prompts 3 t × 520 kr. = 1.560 kr. I alt ca. 1.860 kr., afrundet til 1.900 kr.</t>
        </r>
      </text>
    </comment>
    <comment ref="B12" authorId="0">
      <text>
        <r>
          <rPr>
            <sz val="10"/>
            <rFont val="Arial"/>
            <family val="2"/>
          </rPr>
          <t xml:space="preserve">Sara (salgschef) og Henrik (ejer) bruger løsningen.</t>
        </r>
      </text>
    </comment>
    <comment ref="B13" authorId="0">
      <text>
        <r>
          <rPr>
            <sz val="10"/>
            <rFont val="Arial"/>
            <family val="2"/>
          </rPr>
          <t xml:space="preserve">Antagelse, NETTO efter menneskelig kontrol: Sara sparer ca. 4 t/uge på portaler og læsning, Henrik ca. 1 t/uge på byd/byd-ikke-møder → gennemsnit 2,5 t pr. bruger. Mål det i piloten med tidsregistrering før/efter i 2–4 uger.</t>
        </r>
      </text>
    </comment>
    <comment ref="B14" authorId="0">
      <text>
        <r>
          <rPr>
            <sz val="10"/>
            <rFont val="Arial"/>
            <family val="2"/>
          </rPr>
          <t xml:space="preserve">ANTAGELSE – skal erstattes: find grundløn i Danmarks Statistiks lønstatistik (LONS20) for salgschef/salgskonsulent og læg overhead på (kursets eksempler bruger ca. 20 %).</t>
        </r>
      </text>
    </comment>
  </commentList>
</comments>
</file>

<file path=xl/sharedStrings.xml><?xml version="1.0" encoding="utf-8"?>
<sst xmlns="http://schemas.openxmlformats.org/spreadsheetml/2006/main" count="255" uniqueCount="205">
  <si>
    <t xml:space="preserve">Gang 8 — ROI-beregner  ·  Anvendt AI</t>
  </si>
  <si>
    <t xml:space="preserve">Udfyld de gule felter. De blå/grønne felter beregnes automatisk. Brug jeres eget Gang 4/6-produkt som grundlag.</t>
  </si>
  <si>
    <t xml:space="preserve">Case / gruppe:</t>
  </si>
  <si>
    <t xml:space="preserve">NordScene ApS (fiktiv) – Udbudsagent · Elena</t>
  </si>
  <si>
    <t xml:space="preserve">1. Prissætning af løsningen</t>
  </si>
  <si>
    <t xml:space="preserve">Prismodel (fra prissætnings-kittet):</t>
  </si>
  <si>
    <t xml:space="preserve">Hybrid: engangsudvikling + brugsbaseret drift</t>
  </si>
  <si>
    <t xml:space="preserve">Udviklings-/opstartsomkostning (kr., engangsbeløb):</t>
  </si>
  <si>
    <t xml:space="preserve">Abonnement / driftsomkostning pr. måned (kr.):</t>
  </si>
  <si>
    <t xml:space="preserve">2. Tidsbesparelse &amp; anvendelse</t>
  </si>
  <si>
    <t xml:space="preserve">Antal medarbejdere der bruger løsningen:</t>
  </si>
  <si>
    <t xml:space="preserve">Tidsbesparelse pr. medarbejder pr. uge (timer):</t>
  </si>
  <si>
    <t xml:space="preserve">Gennemsnitlig timeløn inkl. overhead (kr./time):</t>
  </si>
  <si>
    <t xml:space="preserve">Antal arbejdsuger pr. år løsningen bruges:</t>
  </si>
  <si>
    <t xml:space="preserve">(Standardantagelse: 47 uger/år — 52 uger minus ferie. Ret hvis jeres case er anderledes.) [egen antagelse]</t>
  </si>
  <si>
    <t xml:space="preserve">3. Beregnet ROI</t>
  </si>
  <si>
    <t xml:space="preserve">Årlig tidsbesparelse (timer/år):</t>
  </si>
  <si>
    <t xml:space="preserve">Årlig besparelse (kr./år):</t>
  </si>
  <si>
    <t xml:space="preserve">Samlet omkostning, år 1 (kr.):</t>
  </si>
  <si>
    <t xml:space="preserve">Løbende årlig omkostning, år 2+ (kr.):</t>
  </si>
  <si>
    <t xml:space="preserve">Nettoresultat, år 1 (kr.):</t>
  </si>
  <si>
    <t xml:space="preserve">Tilbagebetalingstid (måneder):</t>
  </si>
  <si>
    <t xml:space="preserve">Nettoværdi over 3 år (kr.):</t>
  </si>
  <si>
    <t xml:space="preserve">4. Bæredygtighedsbetragtning (skriftligt — ikke en formel)</t>
  </si>
  <si>
    <t xml:space="preserve">Skriv 2-4 linjer: Hvor ofte/meget bruges løsningen i praksis (fx antal AI-kald/dag)? Hvad betyder det i lyset af, at en gennemsnitlig AI-forespørgsel anslås at bruge ca. 0,24-0,34 Wh [kilde: ourworldindata.org, 2025 — usikkert estimat, ingen officiel CO2-udledning pr. forespørgsel findes]? Er der noget I bevidst gør for at begrænse unødvendigt forbrug (fx færre/kortere kald, caching, valg af mindre model)?</t>
  </si>
  <si>
    <t xml:space="preserve">Brug: ca. 25 udbud analyseres pr. måned (ca. 300 pr. år) med ca. 3 AI-kald hver ≈ 900 kald om året, dvs. 3–4 kald pr. arbejdsdag. Med 0,24–0,34 Wh pr. gennemsnitlig forespørgsel svarer det til ca. 0,2–0,3 kWh om året; lange udbudsdokumenter bruger mere end en gennemsnitlig forespørgsel, så tallet er usikkert og sandsynligvis højere. Tiltag: screening med regler før AI (de fleste udbud når aldrig en sprogmodel), en lille model til kravudtræk, ingen genanalyse af samme udbud (caching), og kun de relevante dele af udbudsmaterialet sendes med. Energiforbruget er lille i forhold til fx kørsel til ét event, men designvalgene holder det nede, også når løsningen skaleres.</t>
  </si>
  <si>
    <t xml:space="preserve">Referencepriser — dansk marked, 2025</t>
  </si>
  <si>
    <t xml:space="preserve">Konsulenttype</t>
  </si>
  <si>
    <t xml:space="preserve">Timepris (kr.)</t>
  </si>
  <si>
    <t xml:space="preserve">Dagspris (kr.)</t>
  </si>
  <si>
    <t xml:space="preserve">Kilde</t>
  </si>
  <si>
    <t xml:space="preserve">AI-konsulent, junior (1-3 år)</t>
  </si>
  <si>
    <t xml:space="preserve">1.000-1.500</t>
  </si>
  <si>
    <t xml:space="preserve">7.000-11.000</t>
  </si>
  <si>
    <t xml:space="preserve">aienterprisekonsulenten.dk (2025) [uverificeret/vejledende]</t>
  </si>
  <si>
    <t xml:space="preserve">AI-konsulent, erfaren (3-7 år)</t>
  </si>
  <si>
    <t xml:space="preserve">1.500-2.500</t>
  </si>
  <si>
    <t xml:space="preserve">10.500-18.000</t>
  </si>
  <si>
    <t xml:space="preserve">AI-konsulent, senior/strategisk</t>
  </si>
  <si>
    <t xml:space="preserve">2.500-3.500</t>
  </si>
  <si>
    <t xml:space="preserve">17.500-25.000</t>
  </si>
  <si>
    <t xml:space="preserve">IT-konsulent, standard</t>
  </si>
  <si>
    <t xml:space="preserve">995-1.495</t>
  </si>
  <si>
    <t xml:space="preserve">7.500-11.500</t>
  </si>
  <si>
    <t xml:space="preserve">it-hjaelpen.com (2025) [uverificeret/vejledende]</t>
  </si>
  <si>
    <t xml:space="preserve">IT-konsulent, specialiseret (fx sikkerhed)</t>
  </si>
  <si>
    <t xml:space="preserve">1.295-1.895</t>
  </si>
  <si>
    <t xml:space="preserve">-</t>
  </si>
  <si>
    <t xml:space="preserve">Typiske SMV-projektbudgetter: 80.000-300.000 kr. over 4-12 uger. Bureauer er ofte 20-40% dyrere end freelancere. [kilde: aienterprisekonsulenten.dk, 2025 — uverificeret/vejledende]</t>
  </si>
  <si>
    <t xml:space="preserve">Prissætningsmodeller (SaaS/software) — se de fulde eksempler i dagens prissætnings-kit (slides):</t>
  </si>
  <si>
    <t xml:space="preserve">• Freemium — gratis basisversion, betaling for udvidet funktion (fx Slack).</t>
  </si>
  <si>
    <t xml:space="preserve">• Flat-rate/abonnement — fast pris pr. måned uanset forbrug (fx Basecamp).</t>
  </si>
  <si>
    <t xml:space="preserve">• Brugsbaseret — betaling efter forbrug, fx pr. API-kald (fx AWS).</t>
  </si>
  <si>
    <t xml:space="preserve">• Tier-baseret — flere pakker med stigende funktionalitet.</t>
  </si>
  <si>
    <t xml:space="preserve">• Per-seat — pris pr. bruger/måned (fx Salesforce).</t>
  </si>
  <si>
    <t xml:space="preserve">• Credit-baseret — forudkøbte “kreditter” der bruges løbende (fx Upwork).</t>
  </si>
  <si>
    <t xml:space="preserve">• Hybrid — kombination af flere modeller.</t>
  </si>
  <si>
    <t xml:space="preserve">[kilde: cloudzero.com/blog/saas-pricing, 2025]</t>
  </si>
  <si>
    <t xml:space="preserve">Eksempel — sådan udfyldes arket</t>
  </si>
  <si>
    <t xml:space="preserve">Fiktivt, illustrativt eksempel til demonstration — ikke en facitliste. Tallene er opdigtede til formålet og viser kun, hvordan beregningen virker.</t>
  </si>
  <si>
    <t xml:space="preserve">Case / gruppe</t>
  </si>
  <si>
    <t xml:space="preserve">NordicGear ApS (fiktivt eksempel)</t>
  </si>
  <si>
    <t xml:space="preserve">Prismodel</t>
  </si>
  <si>
    <t xml:space="preserve">Abonnement (SaaS)</t>
  </si>
  <si>
    <t xml:space="preserve">Udviklings-/opstartsomkostning (kr.)</t>
  </si>
  <si>
    <t xml:space="preserve">40.000</t>
  </si>
  <si>
    <t xml:space="preserve">Abonnement pr. måned (kr.)</t>
  </si>
  <si>
    <t xml:space="preserve">2.500</t>
  </si>
  <si>
    <t xml:space="preserve">Antal medarbejdere</t>
  </si>
  <si>
    <t xml:space="preserve">6</t>
  </si>
  <si>
    <t xml:space="preserve">Tidsbesparelse pr. medarbejder pr. uge (timer)</t>
  </si>
  <si>
    <t xml:space="preserve">3</t>
  </si>
  <si>
    <t xml:space="preserve">Timeløn inkl. overhead (kr./time)</t>
  </si>
  <si>
    <t xml:space="preserve">350</t>
  </si>
  <si>
    <t xml:space="preserve">Arbejdsuger pr. år</t>
  </si>
  <si>
    <t xml:space="preserve">47</t>
  </si>
  <si>
    <t xml:space="preserve">Beregnet: Årlig tidsbesparelse</t>
  </si>
  <si>
    <t xml:space="preserve">6 × 3 × 47 = 846 timer/år</t>
  </si>
  <si>
    <t xml:space="preserve">Beregnet: Årlig besparelse</t>
  </si>
  <si>
    <t xml:space="preserve">846 × 350 kr. = 296.100 kr./år</t>
  </si>
  <si>
    <t xml:space="preserve">Beregnet: Omkostning år 1</t>
  </si>
  <si>
    <t xml:space="preserve">40.000 + (2.500 × 12) = 70.000 kr.</t>
  </si>
  <si>
    <t xml:space="preserve">Beregnet: Tilbagebetalingstid</t>
  </si>
  <si>
    <t xml:space="preserve">40.000 / (296.100/12 - 2.500) ≈ 2,2 måneder</t>
  </si>
  <si>
    <t xml:space="preserve">Beregnet: Nettoværdi over 3 år</t>
  </si>
  <si>
    <t xml:space="preserve">(296.100 × 3) - (40.000 + 2.500 × 36) = 738.300 kr.</t>
  </si>
  <si>
    <t xml:space="preserve">Eksempel A — Vestkyst Regnskab ApS (fiktivt bogføringsfirma, 14 ansatte, Esbjerg)</t>
  </si>
  <si>
    <t xml:space="preserve">Felt i ROI-beregneren</t>
  </si>
  <si>
    <t xml:space="preserve">Værdi at indtaste</t>
  </si>
  <si>
    <t xml:space="preserve">Kilde / hvordan man finder tallet i praksis</t>
  </si>
  <si>
    <t xml:space="preserve">Hvad det betyder for virksomheden</t>
  </si>
  <si>
    <t xml:space="preserve">Vestkyst Regnskab ApS (fiktiv)</t>
  </si>
  <si>
    <t xml:space="preserve">Opdigtet til dette eksempel — ikke en af de tre kendte casevirksomheder.</t>
  </si>
  <si>
    <t xml:space="preserve">AI-assistent der læser fakturaer/bilag og foreslår kontering til de 8 bogholdere.</t>
  </si>
  <si>
    <t xml:space="preserve">Abonnement (SaaS), per-seat</t>
  </si>
  <si>
    <t xml:space="preserve">Valgt ud fra prissætnings-kittets taksonomi [kilde: cloudzero.com/blog/saas-pricing, 2025] — et fast værktøj pr. bruger passer til et bogføringsværktøj, der bruges dagligt af navngivne medarbejdere.</t>
  </si>
  <si>
    <t xml:space="preserve">Forudsigelig månedlig omkostning, nem at budgettere og skalere op/ned med antal bogholdere.</t>
  </si>
  <si>
    <t xml:space="preserve">60.000</t>
  </si>
  <si>
    <t xml:space="preserve">Skøn: 40 timer opsætning/integration med eksisterende regnskabssystem × 1.500 kr./time (erfaren AI-konsulent, 3-7 års erfaring) [kilde: aienterprisekonsulenten.dk, 2025 — uverificeret/vejledende]. I praksis: indhent 2-3 konkrete tilbud fra leverandører/konsulenter og brug medianen.</t>
  </si>
  <si>
    <t xml:space="preserve">Engangsinvestering, der skal tjenes hjem, før løsningen giver nettogevinst.</t>
  </si>
  <si>
    <t xml:space="preserve">3.600</t>
  </si>
  <si>
    <t xml:space="preserve">Skøn: 8 brugere × 450 kr./bruger/md. — et plausibelt niveau for et mindre AI-tilkøb til et regnskabsprogram, sammenlignet med per-seat-eksemplet i prissætnings-kittet (Salesforce: 25-550 $/bruger/md.) [egen skøn baseret på prissætnings-kittet — ikke en konkret leverandørpris]. I praksis: bed leverandøren om en konkret pris pr. bruger.</t>
  </si>
  <si>
    <t xml:space="preserve">Løbende driftsomkostning, der løber videre år efter år — modsat opstartsomkostningen.</t>
  </si>
  <si>
    <t xml:space="preserve">Antal medarbejdere der bruger løsningen</t>
  </si>
  <si>
    <t xml:space="preserve">8</t>
  </si>
  <si>
    <t xml:space="preserve">Virksomhedens egne HR-/organisationsdata — hvor mange bogholdere arbejder med fakturahåndtering.</t>
  </si>
  <si>
    <t xml:space="preserve">Jo flere brugere, jo større samlet tidsbesparelse — men også højere abonnementsomkostning ved per-seat-priser.</t>
  </si>
  <si>
    <t xml:space="preserve">4</t>
  </si>
  <si>
    <t xml:space="preserve">Det sværeste tal at skaffe i praksis. Metode: tidsregistrering før/efter i en 2-4 ugers stikprøveperiode, eller struktureret medarbejderspørgeskema om tidsforbrug på fakturahåndtering. Brug ALDRIG leverandørens egne markedsføringstal ukritisk (fx “op til 50% tidsbesparelse”) — de er ikke en uafhængig kilde. [usikker — fiktivt skøn i dette eksempel]</t>
  </si>
  <si>
    <t xml:space="preserve">Frigjort tid kan bruges til mere værdiskabende opgaver (rådgivning af kunder) i stedet for manuel dataindtastning.</t>
  </si>
  <si>
    <t xml:space="preserve">Gennemsnitlig timeløn inkl. overhead (kr./time)</t>
  </si>
  <si>
    <t xml:space="preserve">405</t>
  </si>
  <si>
    <t xml:space="preserve">Grundløn: 336,93 kr./time for “Almindeligt regnskabs- og bogføringsarbejde” (DISCO 4117), Danmarks Statistiks LONS20-tabel, 2024-tal [kilde: Danmarks Statistik, LONS20, via loen.dk, 2024]. Hertil lagt et tommelfingertillæg på ca. 20% for overhead (pension, admin, kontorplads) = ca. 405 kr./time. [tillægsprocenten er eget skøn — i praksis bør virksomhedens egen økonomi-/HR-afdeling oplyse den faktiske overheadsats].</t>
  </si>
  <si>
    <t xml:space="preserve">Den reelle timepris, virksomheden “sparer” pr. frigjort time — bruges direkte i besparelsesberegningen.</t>
  </si>
  <si>
    <t xml:space="preserve">Antal arbejdsuger pr. år løsningen bruges</t>
  </si>
  <si>
    <t xml:space="preserve">Standardantagelse i ROI-beregneren (52 uger minus ferie). [egen antagelse]</t>
  </si>
  <si>
    <t xml:space="preserve">Sætter loftet for, hvor mange uger besparelsen reelt indhøstes hvert år.</t>
  </si>
  <si>
    <t xml:space="preserve">Beregnet resultat (jf. formlerne i ROI-beregner-fanen)</t>
  </si>
  <si>
    <t xml:space="preserve">Årlig tidsbesparelse (timer/år)</t>
  </si>
  <si>
    <t xml:space="preserve">8 × 4 × 47 = 1.504 timer/år</t>
  </si>
  <si>
    <t xml:space="preserve">Årlig besparelse (kr./år)</t>
  </si>
  <si>
    <t xml:space="preserve">1.504 × 405 kr. = 609.120 kr./år</t>
  </si>
  <si>
    <t xml:space="preserve">Omkostning år 1 (kr.)</t>
  </si>
  <si>
    <t xml:space="preserve">60.000 + (3.600 × 12) = 103.200 kr.</t>
  </si>
  <si>
    <t xml:space="preserve">Tilbagebetalingstid</t>
  </si>
  <si>
    <t xml:space="preserve">60.000 / (609.120/12 - 3.600) ≈ 1,3 måneder</t>
  </si>
  <si>
    <t xml:space="preserve">Nettoværdi over 3 år (kr.)</t>
  </si>
  <si>
    <t xml:space="preserve">(609.120 × 3) - (60.000 + 3.600 × 36) = 1.637.760 kr.</t>
  </si>
  <si>
    <t xml:space="preserve">Praktisk fortolkning: Med disse (fiktive, men metodisk begrundede) tal betaler løsningen sig tilbage på under to måneder — et meget stærkt payback-tal. I en rigtig business case ville man være kritisk over for et så hurtigt payback og dobbelttjekke, om tidsbesparelsen på 4 timer/uge pr. bogholder er realistisk, fx ved faktisk at måle det over nogle uger, før man præsenterer tallet for ledelsen. [egen didaktisk pointe]</t>
  </si>
  <si>
    <t xml:space="preserve">Eksempel B — Havneby Logistik A/S (fiktivt speditionsfirma, 30 ansatte, Aarhus)</t>
  </si>
  <si>
    <t xml:space="preserve">Havneby Logistik A/S (fiktiv)</t>
  </si>
  <si>
    <t xml:space="preserve">AI-chatbot der besvarer rutineforespørgsler om forsendelsesstatus for de 10 kundeservicemedarbejdere.</t>
  </si>
  <si>
    <t xml:space="preserve">Brugsbaseret</t>
  </si>
  <si>
    <t xml:space="preserve">Valgt ud fra prissætnings-kittets taksonomi [kilde: cloudzero.com/blog/saas-pricing, 2025] — en chatbot, der besvarer forespørgsler, skalerer naturligt med antal henvendelser, ligesom AWS/Uber-eksemplerne i prissætnings-kittet.</t>
  </si>
  <si>
    <t xml:space="preserve">Omkostningen følger den faktiske trafik — billigt i stille perioder, dyrere i højsæson.</t>
  </si>
  <si>
    <t xml:space="preserve">160.000</t>
  </si>
  <si>
    <t xml:space="preserve">Skøn: 80 timer integration med virksomhedens TMS-system (transport management system) × 2.000 kr./time (erfaren/senior AI-konsulent) [kilde: aienterprisekonsulenten.dk, 2025 — uverificeret/vejledende]. Højere end Case A, fordi integration til et TMS-system typisk er mere kompleks end til et regnskabssystem. I praksis: indhent tilbud, der specifikt dækker systemintegration.</t>
  </si>
  <si>
    <t xml:space="preserve">Højere engangsinvestering — kræver en større forventet gevinst, før den kan forsvares.</t>
  </si>
  <si>
    <t xml:space="preserve">Abonnement / driftsomkostning pr. måned (kr.)</t>
  </si>
  <si>
    <t xml:space="preserve">7.000</t>
  </si>
  <si>
    <t xml:space="preserve">Omregnet fra brugsbaseret forbrug: skøn ca. 2.000 besvarede forespørgsler/md. × ca. 3,5 kr./forespørgsel (plausibelt niveau for en brugsbaseret AI-API, jf. prissætnings-kittet) [egen skøn — ikke en konkret leverandørpris]. I praksis: leverandøren opgiver typisk en pris pr. forespørgsel/API-kald, og man ganger med forventet volumen.</t>
  </si>
  <si>
    <t xml:space="preserve">Variabel omkostning — stiger med mere trafik/flere kundehenvendelser, modsat et fast abonnement.</t>
  </si>
  <si>
    <t xml:space="preserve">10</t>
  </si>
  <si>
    <t xml:space="preserve">Virksomhedens egne organisationsdata — antal medarbejdere i kundeservice/booking, der håndterer statusforespørgsler.</t>
  </si>
  <si>
    <t xml:space="preserve">Bestemmer den samlede tidsbesparelse, men påvirker ikke selve driftsomkostningen (den er brugsbaseret, ikke per-seat).</t>
  </si>
  <si>
    <t xml:space="preserve">5</t>
  </si>
  <si>
    <t xml:space="preserve">Metode: tidsregistrering før/efter i en stikprøveperiode, eller optælling af hvor mange rutineopkald/mails chatbotten reelt afværger (kan ofte trækkes direkte fra chatbotsystemets egen statistik efter lancering). [usikker — fiktivt skøn i dette eksempel, bør ikke tages fra leverandørens egne marketingtal]</t>
  </si>
  <si>
    <t xml:space="preserve">Frigjort tid kan bruges på komplekse kundesager og afvigelseshåndtering, som kræver menneskelig vurdering.</t>
  </si>
  <si>
    <t xml:space="preserve">285</t>
  </si>
  <si>
    <t xml:space="preserve">Grundløn: 237,21 kr./time for kundeservicemedarbejder, baseret på Danmarks Statistiks LONS20-tabel (standardberegnet månedsfortjeneste 38.032 kr./md., 2024-tal, 3.825 fuldtidsansatte) [kilde: Danmarks Statistik, LONS20, via ansogningshjaelpen.dk, 2024]. Hertil lagt et tommelfingertillæg på ca. 20% for overhead = ca. 285 kr./time. [tillægsprocenten er eget skøn].</t>
  </si>
  <si>
    <t xml:space="preserve">Den reelle timepris, virksomheden “sparer” pr. frigjort time.</t>
  </si>
  <si>
    <t xml:space="preserve">Standardantagelse i ROI-beregneren. [egen antagelse]</t>
  </si>
  <si>
    <t xml:space="preserve">10 × 5 × 47 = 2.350 timer/år</t>
  </si>
  <si>
    <t xml:space="preserve">2.350 × 285 kr. = 669.750 kr./år</t>
  </si>
  <si>
    <t xml:space="preserve">160.000 + (7.000 × 12) = 244.000 kr.</t>
  </si>
  <si>
    <t xml:space="preserve">160.000 / (669.750/12 - 7.000) ≈ 3,3 måneder</t>
  </si>
  <si>
    <t xml:space="preserve">(669.750 × 3) - (160.000 + 7.000 × 36) = 1.597.250 kr.</t>
  </si>
  <si>
    <t xml:space="preserve">Praktisk fortolkning: Havneby Logistik har en højere opstartsomkostning (mere kompleks integration) end Vestkyst Regnskab, men opnår stadig et solidt payback på ca. 3-4 måneder. Sammenlign de to eksempler i timen: hvorfor er payback-tiden forskellig, selvom begge løsninger 'kun' automatiserer rutineopgaver? (Svar: forholdet mellem opstartsomkostning og timeløn/antal medarbejdere driver forskellen.) [egen didaktisk pointe]</t>
  </si>
  <si>
    <t xml:space="preserve">Eksempel C — Lindholm Vinhandel ApS (fiktiv specialforretning/webshop, 5 ansatte, Aalborg) — betaler sig IKKE</t>
  </si>
  <si>
    <t xml:space="preserve">Lindholm Vinhandel ApS (fiktiv)</t>
  </si>
  <si>
    <t xml:space="preserve">Opdigtet til dette eksempel — ikke en af de tre kendte casevirksomheder eller Eksempel A/B.</t>
  </si>
  <si>
    <t xml:space="preserve">En AI-chatbot til at besvare kundehenvendelser (leveringstid, returret, vinanbefalinger) i en lille specialforretning.</t>
  </si>
  <si>
    <t xml:space="preserve">Abonnement (flat-rate)</t>
  </si>
  <si>
    <t xml:space="preserve">Leverandøren tilbyder kun en fast pris pr. måned — ingen brugsbaseret model, fordi virksomheden er for lille til, at leverandøren gider skræddersy prisen. [egen antagelse — et realistisk vilkår for små kunder hos større SaaS-udbydere]</t>
  </si>
  <si>
    <t xml:space="preserve">Virksomheden betaler samme pris, uanset om chatbotten bliver brugt meget eller kun lidt — hvilket er en dårlig fordeling af risiko for en lille aktør.</t>
  </si>
  <si>
    <t xml:space="preserve">50.000</t>
  </si>
  <si>
    <t xml:space="preserve">Skøn: selv en 'simpel' opsætning har en omkostningsgulv hos konsulenter/leverandører, uanset virksomhedens størrelse — her ca. 33 timer × 1.500 kr./time (erfaren AI-konsulent) [kilde: aienterprisekonsulenten.dk, 2025 — uverificeret/vejledende]. I praksis: indhent tilbud og spørg specifikt, om leverandøren har en mindstepris for små kunder.</t>
  </si>
  <si>
    <t xml:space="preserve">En lille virksomhed betaler ofte samme opstartsomkostning som en stor — det er her, regnestykket typisk vipper.</t>
  </si>
  <si>
    <t xml:space="preserve">3.000</t>
  </si>
  <si>
    <t xml:space="preserve">Skøn: et typisk fast SaaS-chatbot-abonnement, jf. flat-rate-modellen i prissætnings-kittet (fx Basecamp Pro: 299 $/md. som sammenligning) [egen skøn baseret på prissætnings-kittet — ikke en konkret leverandørpris]. I praksis: bed om leverandørens prisliste for den mindste pakke.</t>
  </si>
  <si>
    <t xml:space="preserve">En fast omkostning, der løber, uanset hvor lidt chatbotten bliver brugt — det er kernen i problemet i dette eksempel.</t>
  </si>
  <si>
    <t xml:space="preserve">2</t>
  </si>
  <si>
    <t xml:space="preserve">Virksomhedens egne organisationsdata — kun 2 af de 5 ansatte håndterer kundehenvendelser ved siden af andre opgaver.</t>
  </si>
  <si>
    <t xml:space="preserve">Lille brugergruppe betyder lille samlet tidsbesparelse, uanset hvor god løsningen er pr. medarbejder.</t>
  </si>
  <si>
    <t xml:space="preserve">1</t>
  </si>
  <si>
    <t xml:space="preserve">Metode: tidsregistrering eller optælling af antal kundehenvendelser pr. uge — en lille specialforretning har typisk for få rutineforespørgsler til, at en chatbot flytter meget tid. [usikker — fiktivt skøn, men bevidst sat lavt til at afspejle lavt henvendelsesvolumen]</t>
  </si>
  <si>
    <t xml:space="preserve">Selv en fungerende AI-løsning har en øvre grænse for, hvor meget tid den kan spare, når volumen af opgaver i forvejen er lav.</t>
  </si>
  <si>
    <t xml:space="preserve">234</t>
  </si>
  <si>
    <t xml:space="preserve">Grundløn: 194,63 kr./time for butiksassistent/salgsassistent (DISCO 5223), Danmarks Statistiks LONS20-tabel, 2024-tal [kilde: Danmarks Statistik, LONS20, via ansogningshjaelpen.dk, 2024]. Hertil et tommelfingertillæg på ca. 20% for overhead = ca. 234 kr./time. [tillægsprocenten er eget skøn].</t>
  </si>
  <si>
    <t xml:space="preserve">Lavere timeløn end i Eksempel A/B betyder, at hver sparet time er mindre værd i kroner — endnu en faktor, der trækker regnestykket i den forkerte retning.</t>
  </si>
  <si>
    <t xml:space="preserve">2 × 1 × 47 = 94 timer/år</t>
  </si>
  <si>
    <t xml:space="preserve">94 × 234 kr. ≈ 22.000 kr./år</t>
  </si>
  <si>
    <t xml:space="preserve">50.000 + (3.000 × 12) = 86.000 kr.</t>
  </si>
  <si>
    <t xml:space="preserve">Nettoresultat, år 1 (kr.)</t>
  </si>
  <si>
    <t xml:space="preserve">22.000 - 86.000 = -64.000 kr.</t>
  </si>
  <si>
    <t xml:space="preserve">Betaler sig ikke tilbage — den månedlige besparelse (ca. 1.833 kr.) er lavere end det månedlige abonnement (3.000 kr.)</t>
  </si>
  <si>
    <t xml:space="preserve">(22.000 × 3) - (50.000 + 3.000 × 36) = -92.000 kr. — investeringen taber penge, ikke kun langsomt, men vedvarende</t>
  </si>
  <si>
    <t xml:space="preserve">Praktisk fortolkning: Rent økonomisk kan Lindholm Vinhandel IKKE forsvare investeringen — de mister penge på den, år efter år, fordi den faste abonnementsomkostning overstiger den værdi, den lave tidsbesparelse reelt skaber. Dette er bevidst konstrueret som modeksempel til Eksempel A og B: en lille virksomhed med lavt henvendelsesvolumen og en leverandør uden fleksibel prismodel er en klassisk kombination, hvor 'ren ROI' siger nej. [egen didaktisk pointe]</t>
  </si>
  <si>
    <t xml:space="preserve">Til debat: hvad kan begrunde investeringen alligevel?</t>
  </si>
  <si>
    <t xml:space="preserve">Perspektiv</t>
  </si>
  <si>
    <t xml:space="preserve">Beskrivelse — brug som oplæg til klassedebat</t>
  </si>
  <si>
    <t xml:space="preserve">Kontinuerlige/konsistente resultater</t>
  </si>
  <si>
    <t xml:space="preserve">En chatbot svarer ens, høfligt og korrekt hver gang — uanset om medarbejderen er stresset, syg eller ny. Det kan reducere fejl og skabe en mere ensartet kundeoplevelse, selvom det ikke kan omregnes direkte til kroner i dette regnestykke.</t>
  </si>
  <si>
    <t xml:space="preserve">Frigivelse af menneskelige ressourcer</t>
  </si>
  <si>
    <t xml:space="preserve">De 2 timer/uge, der frigøres, er måske for få til at 'tælle' i en ROI-beregning — men de kan stadig bruges til noget, virksomheden værdsætter højt, fx personlige vinanbefalinger til stamkunder, som styrker relationen og måske omsætningen ad andre veje end tidsbesparelse.</t>
  </si>
  <si>
    <t xml:space="preserve">Øget tilgængelighed (24/7)</t>
  </si>
  <si>
    <t xml:space="preserve">En lille forretning med 5 ansatte kan ikke bemande kundeservice om aftenen eller i weekenden. En chatbot kan svare på simple spørgsmål uden for åbningstid — en værdi, som ROI-beregneren slet ikke fanger, fordi den kun måler sparet arbejdstid, ikke ny tilgængelighed.</t>
  </si>
  <si>
    <t xml:space="preserve">Kvalitetsløft og færre fejl</t>
  </si>
  <si>
    <t xml:space="preserve">Færre glemte opfølgninger eller forkerte svar om fx leveringstider kan forbedre kundetilfredshed og anmeldelser — en langsigtet, svært målbar gevinst.</t>
  </si>
  <si>
    <t xml:space="preserve">Data og indsigt</t>
  </si>
  <si>
    <t xml:space="preserve">En chatbot logger, hvad kunderne faktisk spørger om — data, virksomheden kan bruge til at forbedre hjemmesiden, sortimentet eller markedsføringen.</t>
  </si>
  <si>
    <t xml:space="preserve">Konkurrenceevne og fremtidssikring</t>
  </si>
  <si>
    <t xml:space="preserve">Selvom det ikke betaler sig i år 1-3, kan det være en investering i ikke at sakke bagud, hvis konkurrenterne tilbyder hurtigere digital service — en strategisk, ikke en ren økonomisk begrundelse.</t>
  </si>
  <si>
    <t xml:space="preserve">Men — modargumentet</t>
  </si>
  <si>
    <t xml:space="preserve">Alle ovenstående gevinster er reelle overvejelser, men bør ikke bruges til automatisk at 'redde' en dårlig business case. Spørg altid: kan gevinsten sandsynliggøres og følges op på, eller er den blot en undskyldning for at undgå den ubehagelige konklusion, at investeringen ikke kan svare sig lige nu?</t>
  </si>
</sst>
</file>

<file path=xl/styles.xml><?xml version="1.0" encoding="utf-8"?>
<styleSheet xmlns="http://schemas.openxmlformats.org/spreadsheetml/2006/main">
  <numFmts count="2">
    <numFmt numFmtId="164" formatCode="General"/>
    <numFmt numFmtId="165"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55555"/>
      <name val="Arial"/>
      <family val="0"/>
      <charset val="1"/>
    </font>
    <font>
      <b val="true"/>
      <sz val="11"/>
      <name val="Arial"/>
      <family val="0"/>
      <charset val="1"/>
    </font>
    <font>
      <sz val="11"/>
      <color rgb="FF1F1F1F"/>
      <name val="Arial"/>
      <family val="0"/>
      <charset val="1"/>
    </font>
    <font>
      <b val="true"/>
      <sz val="12"/>
      <color rgb="FF00454E"/>
      <name val="Arial"/>
      <family val="0"/>
      <charset val="1"/>
    </font>
    <font>
      <sz val="10"/>
      <name val="Arial"/>
      <family val="0"/>
      <charset val="1"/>
    </font>
    <font>
      <i val="true"/>
      <sz val="8"/>
      <color rgb="FF777777"/>
      <name val="Arial"/>
      <family val="0"/>
      <charset val="1"/>
    </font>
    <font>
      <b val="true"/>
      <sz val="10"/>
      <name val="Arial"/>
      <family val="0"/>
      <charset val="1"/>
    </font>
    <font>
      <b val="true"/>
      <sz val="11"/>
      <color rgb="FF00454E"/>
      <name val="Arial"/>
      <family val="0"/>
      <charset val="1"/>
    </font>
    <font>
      <i val="true"/>
      <sz val="9"/>
      <color rgb="FF555555"/>
      <name val="Arial"/>
      <family val="0"/>
      <charset val="1"/>
    </font>
    <font>
      <sz val="10"/>
      <name val="Arial"/>
      <family val="2"/>
    </font>
    <font>
      <b val="true"/>
      <sz val="14"/>
      <color rgb="FFFFFFFF"/>
      <name val="Arial"/>
      <family val="0"/>
      <charset val="1"/>
    </font>
    <font>
      <b val="true"/>
      <sz val="11"/>
      <color rgb="FFFFFFFF"/>
      <name val="Arial"/>
      <family val="0"/>
      <charset val="1"/>
    </font>
    <font>
      <sz val="9"/>
      <name val="Arial"/>
      <family val="0"/>
      <charset val="1"/>
    </font>
    <font>
      <i val="true"/>
      <sz val="9"/>
      <color rgb="FF777777"/>
      <name val="Arial"/>
      <family val="0"/>
      <charset val="1"/>
    </font>
    <font>
      <i val="true"/>
      <sz val="9"/>
      <name val="Arial"/>
      <family val="0"/>
      <charset val="1"/>
    </font>
    <font>
      <b val="true"/>
      <sz val="10"/>
      <color rgb="FF00454E"/>
      <name val="Arial"/>
      <family val="0"/>
      <charset val="1"/>
    </font>
    <font>
      <b val="true"/>
      <sz val="10"/>
      <color rgb="FFB00020"/>
      <name val="Arial"/>
      <family val="0"/>
      <charset val="1"/>
    </font>
    <font>
      <sz val="9.5"/>
      <name val="Arial"/>
      <family val="0"/>
      <charset val="1"/>
    </font>
  </fonts>
  <fills count="9">
    <fill>
      <patternFill patternType="none"/>
    </fill>
    <fill>
      <patternFill patternType="gray125"/>
    </fill>
    <fill>
      <patternFill patternType="solid">
        <fgColor rgb="FF00454E"/>
        <bgColor rgb="FF003300"/>
      </patternFill>
    </fill>
    <fill>
      <patternFill patternType="solid">
        <fgColor rgb="FFFFFDE7"/>
        <bgColor rgb="FFFFFFFF"/>
      </patternFill>
    </fill>
    <fill>
      <patternFill patternType="solid">
        <fgColor rgb="FFCAE4E3"/>
        <bgColor rgb="FFCCFFCC"/>
      </patternFill>
    </fill>
    <fill>
      <patternFill patternType="solid">
        <fgColor rgb="FFEAF6F5"/>
        <bgColor rgb="FFFFFDE7"/>
      </patternFill>
    </fill>
    <fill>
      <patternFill patternType="solid">
        <fgColor rgb="FF47B9B3"/>
        <bgColor rgb="FF339966"/>
      </patternFill>
    </fill>
    <fill>
      <patternFill patternType="solid">
        <fgColor rgb="FFFBEAEA"/>
        <bgColor rgb="FFEAF6F5"/>
      </patternFill>
    </fill>
    <fill>
      <patternFill patternType="solid">
        <fgColor rgb="FF85B57B"/>
        <bgColor rgb="FF999999"/>
      </patternFill>
    </fill>
  </fills>
  <borders count="3">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47B9B3"/>
      </left>
      <right style="thin">
        <color rgb="FF47B9B3"/>
      </right>
      <top style="thin">
        <color rgb="FF47B9B3"/>
      </top>
      <bottom style="thin">
        <color rgb="FF47B9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2" fillId="5"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6"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20" fillId="5" borderId="0" xfId="0" applyFont="true" applyBorder="true" applyAlignment="false" applyProtection="false">
      <alignment horizontal="general" vertical="bottom" textRotation="0" wrapText="false" indent="0" shrinkToFit="false"/>
      <protection locked="true" hidden="false"/>
    </xf>
    <xf numFmtId="164" fontId="21" fillId="7"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6" fillId="8"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85B57B"/>
      <rgbColor rgb="FF777777"/>
      <rgbColor rgb="FF9999FF"/>
      <rgbColor rgb="FF993366"/>
      <rgbColor rgb="FFFFFDE7"/>
      <rgbColor rgb="FFEAF6F5"/>
      <rgbColor rgb="FF660066"/>
      <rgbColor rgb="FFFF8080"/>
      <rgbColor rgb="FF0066CC"/>
      <rgbColor rgb="FFCAE4E3"/>
      <rgbColor rgb="FF000080"/>
      <rgbColor rgb="FFFF00FF"/>
      <rgbColor rgb="FFFFFF00"/>
      <rgbColor rgb="FF00FFFF"/>
      <rgbColor rgb="FF800080"/>
      <rgbColor rgb="FF800000"/>
      <rgbColor rgb="FF008080"/>
      <rgbColor rgb="FF0000FF"/>
      <rgbColor rgb="FF00CCFF"/>
      <rgbColor rgb="FFFBEAEA"/>
      <rgbColor rgb="FFCCFFCC"/>
      <rgbColor rgb="FFFFFF99"/>
      <rgbColor rgb="FF99CCFF"/>
      <rgbColor rgb="FFFF99CC"/>
      <rgbColor rgb="FFCC99FF"/>
      <rgbColor rgb="FFFFCC99"/>
      <rgbColor rgb="FF3366FF"/>
      <rgbColor rgb="FF47B9B3"/>
      <rgbColor rgb="FF99CC00"/>
      <rgbColor rgb="FFFFCC00"/>
      <rgbColor rgb="FFFF9900"/>
      <rgbColor rgb="FFFF6600"/>
      <rgbColor rgb="FF555555"/>
      <rgbColor rgb="FF999999"/>
      <rgbColor rgb="FF00454E"/>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8" activeCellId="0" sqref="B8"/>
    </sheetView>
  </sheetViews>
  <sheetFormatPr defaultColWidth="8.6796875" defaultRowHeight="14.2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4"/>
    <col collapsed="false" customWidth="true" hidden="false" outlineLevel="0" max="4" min="4" style="0" width="34"/>
    <col collapsed="false" customWidth="true" hidden="false" outlineLevel="0" max="5" min="5" style="0" width="20"/>
  </cols>
  <sheetData>
    <row r="1" customFormat="false" ht="25.5" hidden="false" customHeight="true" outlineLevel="0" collapsed="false">
      <c r="A1" s="1" t="s">
        <v>0</v>
      </c>
      <c r="B1" s="1"/>
      <c r="C1" s="1"/>
      <c r="D1" s="1"/>
      <c r="E1" s="1"/>
    </row>
    <row r="2" customFormat="false" ht="14.25" hidden="false" customHeight="false" outlineLevel="0" collapsed="false">
      <c r="A2" s="2" t="s">
        <v>1</v>
      </c>
      <c r="B2" s="2"/>
      <c r="C2" s="2"/>
      <c r="D2" s="2"/>
      <c r="E2" s="2"/>
    </row>
    <row r="4" customFormat="false" ht="15.75" hidden="false" customHeight="true" outlineLevel="0" collapsed="false">
      <c r="A4" s="3" t="s">
        <v>2</v>
      </c>
      <c r="B4" s="4" t="s">
        <v>3</v>
      </c>
    </row>
    <row r="5" customFormat="false" ht="15.75" hidden="false" customHeight="true" outlineLevel="0" collapsed="false"/>
    <row r="6" customFormat="false" ht="15.75" hidden="false" customHeight="true" outlineLevel="0" collapsed="false">
      <c r="A6" s="5" t="s">
        <v>4</v>
      </c>
      <c r="B6" s="5"/>
    </row>
    <row r="7" customFormat="false" ht="15.75" hidden="false" customHeight="true" outlineLevel="0" collapsed="false">
      <c r="A7" s="6" t="s">
        <v>5</v>
      </c>
      <c r="B7" s="4" t="s">
        <v>6</v>
      </c>
    </row>
    <row r="8" customFormat="false" ht="15.75" hidden="false" customHeight="true" outlineLevel="0" collapsed="false">
      <c r="A8" s="6" t="s">
        <v>7</v>
      </c>
      <c r="B8" s="4" t="n">
        <v>72000</v>
      </c>
    </row>
    <row r="9" customFormat="false" ht="15.75" hidden="false" customHeight="true" outlineLevel="0" collapsed="false">
      <c r="A9" s="6" t="s">
        <v>8</v>
      </c>
      <c r="B9" s="4" t="n">
        <v>1900</v>
      </c>
    </row>
    <row r="10" customFormat="false" ht="15.75" hidden="false" customHeight="true" outlineLevel="0" collapsed="false"/>
    <row r="11" customFormat="false" ht="15.75" hidden="false" customHeight="true" outlineLevel="0" collapsed="false">
      <c r="A11" s="5" t="s">
        <v>9</v>
      </c>
      <c r="B11" s="5"/>
    </row>
    <row r="12" customFormat="false" ht="15.75" hidden="false" customHeight="true" outlineLevel="0" collapsed="false">
      <c r="A12" s="6" t="s">
        <v>10</v>
      </c>
      <c r="B12" s="4" t="n">
        <v>2</v>
      </c>
    </row>
    <row r="13" customFormat="false" ht="15.75" hidden="false" customHeight="true" outlineLevel="0" collapsed="false">
      <c r="A13" s="6" t="s">
        <v>11</v>
      </c>
      <c r="B13" s="4" t="n">
        <v>2.5</v>
      </c>
    </row>
    <row r="14" customFormat="false" ht="15.75" hidden="false" customHeight="true" outlineLevel="0" collapsed="false">
      <c r="A14" s="6" t="s">
        <v>12</v>
      </c>
      <c r="B14" s="4" t="n">
        <v>520</v>
      </c>
    </row>
    <row r="15" customFormat="false" ht="15.75" hidden="false" customHeight="true" outlineLevel="0" collapsed="false">
      <c r="A15" s="6" t="s">
        <v>13</v>
      </c>
      <c r="B15" s="4" t="n">
        <v>47</v>
      </c>
    </row>
    <row r="16" customFormat="false" ht="15.75" hidden="false" customHeight="true" outlineLevel="0" collapsed="false">
      <c r="A16" s="7" t="s">
        <v>14</v>
      </c>
      <c r="B16" s="7"/>
    </row>
    <row r="17" customFormat="false" ht="15.75" hidden="false" customHeight="true" outlineLevel="0" collapsed="false"/>
    <row r="18" customFormat="false" ht="15.75" hidden="false" customHeight="true" outlineLevel="0" collapsed="false">
      <c r="A18" s="5" t="s">
        <v>15</v>
      </c>
      <c r="B18" s="5"/>
    </row>
    <row r="19" customFormat="false" ht="15.75" hidden="false" customHeight="true" outlineLevel="0" collapsed="false">
      <c r="A19" s="8" t="s">
        <v>16</v>
      </c>
      <c r="B19" s="9" t="n">
        <f aca="false">B12*B13*B15</f>
        <v>235</v>
      </c>
    </row>
    <row r="20" customFormat="false" ht="15.75" hidden="false" customHeight="true" outlineLevel="0" collapsed="false">
      <c r="A20" s="8" t="s">
        <v>17</v>
      </c>
      <c r="B20" s="9" t="n">
        <f aca="false">B19*B14</f>
        <v>122200</v>
      </c>
    </row>
    <row r="21" customFormat="false" ht="15.75" hidden="false" customHeight="true" outlineLevel="0" collapsed="false">
      <c r="A21" s="8" t="s">
        <v>18</v>
      </c>
      <c r="B21" s="9" t="n">
        <f aca="false">B8+(B9*12)</f>
        <v>94800</v>
      </c>
    </row>
    <row r="22" customFormat="false" ht="15.75" hidden="false" customHeight="true" outlineLevel="0" collapsed="false">
      <c r="A22" s="8" t="s">
        <v>19</v>
      </c>
      <c r="B22" s="9" t="n">
        <f aca="false">B9*12</f>
        <v>22800</v>
      </c>
    </row>
    <row r="23" customFormat="false" ht="15.75" hidden="false" customHeight="true" outlineLevel="0" collapsed="false">
      <c r="A23" s="8" t="s">
        <v>20</v>
      </c>
      <c r="B23" s="9" t="n">
        <f aca="false">B20-B21</f>
        <v>27400</v>
      </c>
    </row>
    <row r="24" customFormat="false" ht="15.75" hidden="false" customHeight="true" outlineLevel="0" collapsed="false">
      <c r="A24" s="8" t="s">
        <v>21</v>
      </c>
      <c r="B24" s="9" t="n">
        <f aca="false">IF((B20/12-B9)&lt;=0,"Betaler sig ikke tilbage ved nuværende input",IF(B8=0,0,B8/(B20/12-B9)))</f>
        <v>8.69215291750503</v>
      </c>
    </row>
    <row r="25" customFormat="false" ht="15.75" hidden="false" customHeight="true" outlineLevel="0" collapsed="false">
      <c r="A25" s="8" t="s">
        <v>22</v>
      </c>
      <c r="B25" s="9" t="n">
        <f aca="false">(B20*3)-(B8+(B9*36))</f>
        <v>226200</v>
      </c>
    </row>
    <row r="26" customFormat="false" ht="15.75" hidden="false" customHeight="true" outlineLevel="0" collapsed="false"/>
    <row r="27" customFormat="false" ht="18" hidden="false" customHeight="true" outlineLevel="0" collapsed="false">
      <c r="A27" s="5" t="s">
        <v>23</v>
      </c>
      <c r="B27" s="5"/>
      <c r="C27" s="5"/>
      <c r="D27" s="5"/>
      <c r="E27" s="5"/>
    </row>
    <row r="28" customFormat="false" ht="48" hidden="false" customHeight="true" outlineLevel="0" collapsed="false">
      <c r="A28" s="10" t="s">
        <v>24</v>
      </c>
      <c r="B28" s="10"/>
      <c r="C28" s="10"/>
      <c r="D28" s="10"/>
      <c r="E28" s="10"/>
    </row>
    <row r="29" customFormat="false" ht="15.75" hidden="false" customHeight="true" outlineLevel="0" collapsed="false"/>
    <row r="30" customFormat="false" ht="15.75" hidden="false" customHeight="true" outlineLevel="0" collapsed="false">
      <c r="A30" s="11" t="s">
        <v>25</v>
      </c>
      <c r="B30" s="11"/>
      <c r="C30" s="11"/>
      <c r="D30" s="11"/>
      <c r="E30" s="11"/>
    </row>
    <row r="31" customFormat="false" ht="15.75" hidden="false" customHeight="true" outlineLevel="0" collapsed="false">
      <c r="A31" s="11"/>
      <c r="B31" s="11"/>
      <c r="C31" s="11"/>
      <c r="D31" s="11"/>
      <c r="E31" s="11"/>
    </row>
    <row r="32" customFormat="false" ht="15.75" hidden="false" customHeight="true" outlineLevel="0" collapsed="false">
      <c r="A32" s="11"/>
      <c r="B32" s="11"/>
      <c r="C32" s="11"/>
      <c r="D32" s="11"/>
      <c r="E32" s="11"/>
    </row>
    <row r="33" customFormat="false" ht="15.75" hidden="false" customHeight="true" outlineLevel="0" collapsed="false">
      <c r="A33" s="11"/>
      <c r="B33" s="11"/>
      <c r="C33" s="11"/>
      <c r="D33" s="11"/>
      <c r="E33" s="11"/>
    </row>
    <row r="34" customFormat="false" ht="15.75" hidden="false" customHeight="true" outlineLevel="0" collapsed="false">
      <c r="A34" s="11"/>
      <c r="B34" s="11"/>
      <c r="C34" s="11"/>
      <c r="D34" s="11"/>
      <c r="E34" s="11"/>
    </row>
  </sheetData>
  <mergeCells count="9">
    <mergeCell ref="A1:E1"/>
    <mergeCell ref="A2:E2"/>
    <mergeCell ref="A6:B6"/>
    <mergeCell ref="A11:B11"/>
    <mergeCell ref="A16:B16"/>
    <mergeCell ref="A18:B18"/>
    <mergeCell ref="A27:E27"/>
    <mergeCell ref="A28:E28"/>
    <mergeCell ref="A30:E34"/>
  </mergeCells>
  <dataValidations count="2">
    <dataValidation allowBlank="true" errorStyle="stop" operator="between" showDropDown="false" showErrorMessage="false" showInputMessage="false" sqref="B4" type="list">
      <formula1>"NordicGear ApS,ByggeSoft ApS,Nordkyst Forsikring A/S,Andet"</formula1>
      <formula2>0</formula2>
    </dataValidation>
    <dataValidation allowBlank="true" errorStyle="stop" operator="between" showDropDown="false" showErrorMessage="false" showInputMessage="false" sqref="B7" type="list">
      <formula1>"Engangsudvikling,Abonnement (SaaS),Begge dele,Brugsbaseret,Per-seat"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8.6796875" defaultRowHeight="14.25" zeroHeight="false" outlineLevelRow="0" outlineLevelCol="0"/>
  <cols>
    <col collapsed="false" customWidth="true" hidden="false" outlineLevel="0" max="1" min="1" style="0" width="28"/>
    <col collapsed="false" customWidth="true" hidden="false" outlineLevel="0" max="3" min="2" style="0" width="22"/>
    <col collapsed="false" customWidth="true" hidden="false" outlineLevel="0" max="4" min="4" style="0" width="45"/>
  </cols>
  <sheetData>
    <row r="1" customFormat="false" ht="24" hidden="false" customHeight="true" outlineLevel="0" collapsed="false">
      <c r="A1" s="12" t="s">
        <v>26</v>
      </c>
      <c r="B1" s="12"/>
      <c r="C1" s="12"/>
      <c r="D1" s="12"/>
    </row>
    <row r="3" customFormat="false" ht="14.25" hidden="false" customHeight="false" outlineLevel="0" collapsed="false">
      <c r="A3" s="13" t="s">
        <v>27</v>
      </c>
      <c r="B3" s="13" t="s">
        <v>28</v>
      </c>
      <c r="C3" s="13" t="s">
        <v>29</v>
      </c>
      <c r="D3" s="13" t="s">
        <v>30</v>
      </c>
    </row>
    <row r="4" customFormat="false" ht="26.25" hidden="false" customHeight="true" outlineLevel="0" collapsed="false">
      <c r="A4" s="6" t="s">
        <v>31</v>
      </c>
      <c r="B4" s="6" t="s">
        <v>32</v>
      </c>
      <c r="C4" s="6" t="s">
        <v>33</v>
      </c>
      <c r="D4" s="6" t="s">
        <v>34</v>
      </c>
    </row>
    <row r="5" customFormat="false" ht="26.25" hidden="false" customHeight="true" outlineLevel="0" collapsed="false">
      <c r="A5" s="6" t="s">
        <v>35</v>
      </c>
      <c r="B5" s="6" t="s">
        <v>36</v>
      </c>
      <c r="C5" s="6" t="s">
        <v>37</v>
      </c>
      <c r="D5" s="6" t="s">
        <v>34</v>
      </c>
    </row>
    <row r="6" customFormat="false" ht="26.25" hidden="false" customHeight="true" outlineLevel="0" collapsed="false">
      <c r="A6" s="6" t="s">
        <v>38</v>
      </c>
      <c r="B6" s="6" t="s">
        <v>39</v>
      </c>
      <c r="C6" s="6" t="s">
        <v>40</v>
      </c>
      <c r="D6" s="6" t="s">
        <v>34</v>
      </c>
    </row>
    <row r="7" customFormat="false" ht="14.25" hidden="false" customHeight="false" outlineLevel="0" collapsed="false">
      <c r="A7" s="6" t="s">
        <v>41</v>
      </c>
      <c r="B7" s="6" t="s">
        <v>42</v>
      </c>
      <c r="C7" s="6" t="s">
        <v>43</v>
      </c>
      <c r="D7" s="6" t="s">
        <v>44</v>
      </c>
    </row>
    <row r="8" customFormat="false" ht="26.25" hidden="false" customHeight="true" outlineLevel="0" collapsed="false">
      <c r="A8" s="6" t="s">
        <v>45</v>
      </c>
      <c r="B8" s="6" t="s">
        <v>46</v>
      </c>
      <c r="C8" s="6" t="s">
        <v>47</v>
      </c>
      <c r="D8" s="6" t="s">
        <v>44</v>
      </c>
    </row>
    <row r="10" customFormat="false" ht="14.25" hidden="false" customHeight="true" outlineLevel="0" collapsed="false">
      <c r="A10" s="10" t="s">
        <v>48</v>
      </c>
      <c r="B10" s="10"/>
      <c r="C10" s="10"/>
      <c r="D10" s="10"/>
    </row>
    <row r="11" customFormat="false" ht="14.25" hidden="false" customHeight="false" outlineLevel="0" collapsed="false">
      <c r="A11" s="10"/>
      <c r="B11" s="10"/>
      <c r="C11" s="10"/>
      <c r="D11" s="10"/>
    </row>
    <row r="13" customFormat="false" ht="14.25" hidden="false" customHeight="false" outlineLevel="0" collapsed="false">
      <c r="A13" s="14" t="s">
        <v>49</v>
      </c>
      <c r="B13" s="14"/>
      <c r="C13" s="14"/>
      <c r="D13" s="14"/>
    </row>
    <row r="14" customFormat="false" ht="14.25" hidden="false" customHeight="false" outlineLevel="0" collapsed="false">
      <c r="A14" s="15" t="s">
        <v>50</v>
      </c>
      <c r="B14" s="15"/>
      <c r="C14" s="15"/>
      <c r="D14" s="15"/>
    </row>
    <row r="15" customFormat="false" ht="14.25" hidden="false" customHeight="false" outlineLevel="0" collapsed="false">
      <c r="A15" s="15" t="s">
        <v>51</v>
      </c>
      <c r="B15" s="15"/>
      <c r="C15" s="15"/>
      <c r="D15" s="15"/>
    </row>
    <row r="16" customFormat="false" ht="14.25" hidden="false" customHeight="false" outlineLevel="0" collapsed="false">
      <c r="A16" s="15" t="s">
        <v>52</v>
      </c>
      <c r="B16" s="15"/>
      <c r="C16" s="15"/>
      <c r="D16" s="15"/>
    </row>
    <row r="17" customFormat="false" ht="14.25" hidden="false" customHeight="false" outlineLevel="0" collapsed="false">
      <c r="A17" s="15" t="s">
        <v>53</v>
      </c>
      <c r="B17" s="15"/>
      <c r="C17" s="15"/>
      <c r="D17" s="15"/>
    </row>
    <row r="18" customFormat="false" ht="14.25" hidden="false" customHeight="false" outlineLevel="0" collapsed="false">
      <c r="A18" s="15" t="s">
        <v>54</v>
      </c>
      <c r="B18" s="15"/>
      <c r="C18" s="15"/>
      <c r="D18" s="15"/>
    </row>
    <row r="19" customFormat="false" ht="14.25" hidden="false" customHeight="false" outlineLevel="0" collapsed="false">
      <c r="A19" s="15" t="s">
        <v>55</v>
      </c>
      <c r="B19" s="15"/>
      <c r="C19" s="15"/>
      <c r="D19" s="15"/>
    </row>
    <row r="20" customFormat="false" ht="14.25" hidden="false" customHeight="false" outlineLevel="0" collapsed="false">
      <c r="A20" s="15" t="s">
        <v>56</v>
      </c>
      <c r="B20" s="15"/>
      <c r="C20" s="15"/>
      <c r="D20" s="15"/>
    </row>
    <row r="21" customFormat="false" ht="14.25" hidden="false" customHeight="false" outlineLevel="0" collapsed="false">
      <c r="A21" s="16" t="s">
        <v>57</v>
      </c>
    </row>
  </sheetData>
  <mergeCells count="10">
    <mergeCell ref="A1:D1"/>
    <mergeCell ref="A10:D11"/>
    <mergeCell ref="A13:D13"/>
    <mergeCell ref="A14:D14"/>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40"/>
    <col collapsed="false" customWidth="true" hidden="false" outlineLevel="0" max="2" min="2" style="0" width="20"/>
  </cols>
  <sheetData>
    <row r="1" customFormat="false" ht="17.25" hidden="false" customHeight="true" outlineLevel="0" collapsed="false">
      <c r="A1" s="12" t="s">
        <v>58</v>
      </c>
      <c r="B1" s="12"/>
    </row>
    <row r="2" customFormat="false" ht="30" hidden="false" customHeight="true" outlineLevel="0" collapsed="false">
      <c r="A2" s="17" t="s">
        <v>59</v>
      </c>
      <c r="B2" s="17"/>
    </row>
    <row r="3" customFormat="false" ht="27" hidden="false" customHeight="true" outlineLevel="0" collapsed="false">
      <c r="A3" s="18" t="s">
        <v>60</v>
      </c>
      <c r="B3" s="18" t="s">
        <v>61</v>
      </c>
    </row>
    <row r="4" customFormat="false" ht="14.25" hidden="false" customHeight="false" outlineLevel="0" collapsed="false">
      <c r="A4" s="18" t="s">
        <v>62</v>
      </c>
      <c r="B4" s="18" t="s">
        <v>63</v>
      </c>
    </row>
    <row r="5" customFormat="false" ht="14.25" hidden="false" customHeight="false" outlineLevel="0" collapsed="false">
      <c r="A5" s="18" t="s">
        <v>64</v>
      </c>
      <c r="B5" s="18" t="s">
        <v>65</v>
      </c>
    </row>
    <row r="6" customFormat="false" ht="14.25" hidden="false" customHeight="false" outlineLevel="0" collapsed="false">
      <c r="A6" s="18" t="s">
        <v>66</v>
      </c>
      <c r="B6" s="18" t="s">
        <v>67</v>
      </c>
    </row>
    <row r="7" customFormat="false" ht="14.25" hidden="false" customHeight="false" outlineLevel="0" collapsed="false">
      <c r="A7" s="18" t="s">
        <v>68</v>
      </c>
      <c r="B7" s="18" t="s">
        <v>69</v>
      </c>
    </row>
    <row r="8" customFormat="false" ht="14.25" hidden="false" customHeight="false" outlineLevel="0" collapsed="false">
      <c r="A8" s="18" t="s">
        <v>70</v>
      </c>
      <c r="B8" s="18" t="s">
        <v>71</v>
      </c>
    </row>
    <row r="9" customFormat="false" ht="14.25" hidden="false" customHeight="false" outlineLevel="0" collapsed="false">
      <c r="A9" s="18" t="s">
        <v>72</v>
      </c>
      <c r="B9" s="18" t="s">
        <v>73</v>
      </c>
    </row>
    <row r="10" customFormat="false" ht="14.25" hidden="false" customHeight="false" outlineLevel="0" collapsed="false">
      <c r="A10" s="18" t="s">
        <v>74</v>
      </c>
      <c r="B10" s="18" t="s">
        <v>75</v>
      </c>
    </row>
    <row r="11" customFormat="false" ht="14.25" hidden="false" customHeight="false" outlineLevel="0" collapsed="false">
      <c r="A11" s="19"/>
      <c r="B11" s="18"/>
    </row>
    <row r="12" customFormat="false" ht="27" hidden="false" customHeight="true" outlineLevel="0" collapsed="false">
      <c r="A12" s="19" t="s">
        <v>76</v>
      </c>
      <c r="B12" s="18" t="s">
        <v>77</v>
      </c>
    </row>
    <row r="13" customFormat="false" ht="27" hidden="false" customHeight="true" outlineLevel="0" collapsed="false">
      <c r="A13" s="19" t="s">
        <v>78</v>
      </c>
      <c r="B13" s="18" t="s">
        <v>79</v>
      </c>
    </row>
    <row r="14" customFormat="false" ht="27" hidden="false" customHeight="true" outlineLevel="0" collapsed="false">
      <c r="A14" s="19" t="s">
        <v>80</v>
      </c>
      <c r="B14" s="18" t="s">
        <v>81</v>
      </c>
    </row>
    <row r="15" customFormat="false" ht="27" hidden="false" customHeight="true" outlineLevel="0" collapsed="false">
      <c r="A15" s="19" t="s">
        <v>82</v>
      </c>
      <c r="B15" s="18" t="s">
        <v>83</v>
      </c>
    </row>
    <row r="16" customFormat="false" ht="39.75" hidden="false" customHeight="true" outlineLevel="0" collapsed="false">
      <c r="A16" s="19" t="s">
        <v>84</v>
      </c>
      <c r="B16" s="18" t="s">
        <v>85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D5" activeCellId="0" sqref="D5"/>
    </sheetView>
  </sheetViews>
  <sheetFormatPr defaultColWidth="8.6796875" defaultRowHeight="14.2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46"/>
  </cols>
  <sheetData>
    <row r="1" customFormat="false" ht="21.75" hidden="false" customHeight="true" outlineLevel="0" collapsed="false">
      <c r="A1" s="12" t="s">
        <v>86</v>
      </c>
      <c r="B1" s="12"/>
      <c r="C1" s="12"/>
      <c r="D1" s="12"/>
    </row>
    <row r="3" customFormat="false" ht="27" hidden="false" customHeight="true" outlineLevel="0" collapsed="false">
      <c r="A3" s="20" t="s">
        <v>87</v>
      </c>
      <c r="B3" s="20" t="s">
        <v>88</v>
      </c>
      <c r="C3" s="20" t="s">
        <v>89</v>
      </c>
      <c r="D3" s="20" t="s">
        <v>90</v>
      </c>
    </row>
    <row r="4" customFormat="false" ht="94.5" hidden="false" customHeight="true" outlineLevel="0" collapsed="false">
      <c r="A4" s="21" t="s">
        <v>60</v>
      </c>
      <c r="B4" s="22" t="s">
        <v>91</v>
      </c>
      <c r="C4" s="23" t="s">
        <v>92</v>
      </c>
      <c r="D4" s="24" t="s">
        <v>93</v>
      </c>
    </row>
    <row r="5" customFormat="false" ht="94.5" hidden="false" customHeight="true" outlineLevel="0" collapsed="false">
      <c r="A5" s="21" t="s">
        <v>62</v>
      </c>
      <c r="B5" s="22" t="s">
        <v>94</v>
      </c>
      <c r="C5" s="23" t="s">
        <v>95</v>
      </c>
      <c r="D5" s="24" t="s">
        <v>96</v>
      </c>
    </row>
    <row r="6" customFormat="false" ht="94.5" hidden="false" customHeight="true" outlineLevel="0" collapsed="false">
      <c r="A6" s="21" t="s">
        <v>64</v>
      </c>
      <c r="B6" s="22" t="s">
        <v>97</v>
      </c>
      <c r="C6" s="23" t="s">
        <v>98</v>
      </c>
      <c r="D6" s="24" t="s">
        <v>99</v>
      </c>
    </row>
    <row r="7" customFormat="false" ht="94.5" hidden="false" customHeight="true" outlineLevel="0" collapsed="false">
      <c r="A7" s="21" t="s">
        <v>66</v>
      </c>
      <c r="B7" s="22" t="s">
        <v>100</v>
      </c>
      <c r="C7" s="23" t="s">
        <v>101</v>
      </c>
      <c r="D7" s="24" t="s">
        <v>102</v>
      </c>
    </row>
    <row r="8" customFormat="false" ht="94.5" hidden="false" customHeight="true" outlineLevel="0" collapsed="false">
      <c r="A8" s="21" t="s">
        <v>103</v>
      </c>
      <c r="B8" s="22" t="s">
        <v>104</v>
      </c>
      <c r="C8" s="23" t="s">
        <v>105</v>
      </c>
      <c r="D8" s="24" t="s">
        <v>106</v>
      </c>
    </row>
    <row r="9" customFormat="false" ht="94.5" hidden="false" customHeight="true" outlineLevel="0" collapsed="false">
      <c r="A9" s="21" t="s">
        <v>70</v>
      </c>
      <c r="B9" s="22" t="s">
        <v>107</v>
      </c>
      <c r="C9" s="23" t="s">
        <v>108</v>
      </c>
      <c r="D9" s="24" t="s">
        <v>109</v>
      </c>
    </row>
    <row r="10" customFormat="false" ht="94.5" hidden="false" customHeight="true" outlineLevel="0" collapsed="false">
      <c r="A10" s="21" t="s">
        <v>110</v>
      </c>
      <c r="B10" s="22" t="s">
        <v>111</v>
      </c>
      <c r="C10" s="23" t="s">
        <v>112</v>
      </c>
      <c r="D10" s="24" t="s">
        <v>113</v>
      </c>
    </row>
    <row r="11" customFormat="false" ht="94.5" hidden="false" customHeight="true" outlineLevel="0" collapsed="false">
      <c r="A11" s="21" t="s">
        <v>114</v>
      </c>
      <c r="B11" s="22" t="s">
        <v>75</v>
      </c>
      <c r="C11" s="23" t="s">
        <v>115</v>
      </c>
      <c r="D11" s="24" t="s">
        <v>116</v>
      </c>
    </row>
    <row r="13" customFormat="false" ht="14.25" hidden="false" customHeight="false" outlineLevel="0" collapsed="false">
      <c r="A13" s="25" t="s">
        <v>117</v>
      </c>
      <c r="B13" s="25"/>
      <c r="C13" s="25"/>
      <c r="D13" s="25"/>
    </row>
    <row r="14" customFormat="false" ht="14.25" hidden="false" customHeight="false" outlineLevel="0" collapsed="false">
      <c r="A14" s="21" t="s">
        <v>118</v>
      </c>
      <c r="B14" s="26" t="s">
        <v>119</v>
      </c>
      <c r="C14" s="26"/>
      <c r="D14" s="26"/>
    </row>
    <row r="15" customFormat="false" ht="14.25" hidden="false" customHeight="false" outlineLevel="0" collapsed="false">
      <c r="A15" s="21" t="s">
        <v>120</v>
      </c>
      <c r="B15" s="26" t="s">
        <v>121</v>
      </c>
      <c r="C15" s="26"/>
      <c r="D15" s="26"/>
    </row>
    <row r="16" customFormat="false" ht="14.25" hidden="false" customHeight="false" outlineLevel="0" collapsed="false">
      <c r="A16" s="21" t="s">
        <v>122</v>
      </c>
      <c r="B16" s="26" t="s">
        <v>123</v>
      </c>
      <c r="C16" s="26"/>
      <c r="D16" s="26"/>
    </row>
    <row r="17" customFormat="false" ht="14.25" hidden="false" customHeight="false" outlineLevel="0" collapsed="false">
      <c r="A17" s="21" t="s">
        <v>124</v>
      </c>
      <c r="B17" s="26" t="s">
        <v>125</v>
      </c>
      <c r="C17" s="26"/>
      <c r="D17" s="26"/>
    </row>
    <row r="18" customFormat="false" ht="14.25" hidden="false" customHeight="false" outlineLevel="0" collapsed="false">
      <c r="A18" s="21" t="s">
        <v>126</v>
      </c>
      <c r="B18" s="26" t="s">
        <v>127</v>
      </c>
      <c r="C18" s="26"/>
      <c r="D18" s="26"/>
    </row>
    <row r="20" customFormat="false" ht="14.25" hidden="false" customHeight="true" outlineLevel="0" collapsed="false">
      <c r="A20" s="10" t="s">
        <v>128</v>
      </c>
      <c r="B20" s="10"/>
      <c r="C20" s="10"/>
      <c r="D20" s="10"/>
    </row>
    <row r="21" customFormat="false" ht="14.25" hidden="false" customHeight="false" outlineLevel="0" collapsed="false">
      <c r="A21" s="10"/>
      <c r="B21" s="10"/>
      <c r="C21" s="10"/>
      <c r="D21" s="10"/>
    </row>
    <row r="22" customFormat="false" ht="14.25" hidden="false" customHeight="false" outlineLevel="0" collapsed="false">
      <c r="A22" s="10"/>
      <c r="B22" s="10"/>
      <c r="C22" s="10"/>
      <c r="D22" s="10"/>
    </row>
    <row r="23" customFormat="false" ht="14.25" hidden="false" customHeight="false" outlineLevel="0" collapsed="false">
      <c r="A23" s="10"/>
      <c r="B23" s="10"/>
      <c r="C23" s="10"/>
      <c r="D23" s="10"/>
    </row>
    <row r="24" customFormat="false" ht="14.25" hidden="false" customHeight="false" outlineLevel="0" collapsed="false">
      <c r="A24" s="10"/>
      <c r="B24" s="10"/>
      <c r="C24" s="10"/>
      <c r="D24" s="10"/>
    </row>
  </sheetData>
  <mergeCells count="8">
    <mergeCell ref="A1:D1"/>
    <mergeCell ref="A13:D13"/>
    <mergeCell ref="B14:D14"/>
    <mergeCell ref="B15:D15"/>
    <mergeCell ref="B16:D16"/>
    <mergeCell ref="B17:D17"/>
    <mergeCell ref="B18:D18"/>
    <mergeCell ref="A20:D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2" colorId="64" zoomScale="85" zoomScaleNormal="85"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46"/>
  </cols>
  <sheetData>
    <row r="1" customFormat="false" ht="21.75" hidden="false" customHeight="true" outlineLevel="0" collapsed="false">
      <c r="A1" s="12" t="s">
        <v>129</v>
      </c>
      <c r="B1" s="12"/>
      <c r="C1" s="12"/>
      <c r="D1" s="12"/>
    </row>
    <row r="3" customFormat="false" ht="27" hidden="false" customHeight="true" outlineLevel="0" collapsed="false">
      <c r="A3" s="20" t="s">
        <v>87</v>
      </c>
      <c r="B3" s="20" t="s">
        <v>88</v>
      </c>
      <c r="C3" s="20" t="s">
        <v>89</v>
      </c>
      <c r="D3" s="20" t="s">
        <v>90</v>
      </c>
    </row>
    <row r="4" customFormat="false" ht="94.5" hidden="false" customHeight="true" outlineLevel="0" collapsed="false">
      <c r="A4" s="21" t="s">
        <v>60</v>
      </c>
      <c r="B4" s="22" t="s">
        <v>130</v>
      </c>
      <c r="C4" s="23" t="s">
        <v>92</v>
      </c>
      <c r="D4" s="24" t="s">
        <v>131</v>
      </c>
    </row>
    <row r="5" customFormat="false" ht="94.5" hidden="false" customHeight="true" outlineLevel="0" collapsed="false">
      <c r="A5" s="21" t="s">
        <v>62</v>
      </c>
      <c r="B5" s="22" t="s">
        <v>132</v>
      </c>
      <c r="C5" s="23" t="s">
        <v>133</v>
      </c>
      <c r="D5" s="24" t="s">
        <v>134</v>
      </c>
    </row>
    <row r="6" customFormat="false" ht="94.5" hidden="false" customHeight="true" outlineLevel="0" collapsed="false">
      <c r="A6" s="21" t="s">
        <v>64</v>
      </c>
      <c r="B6" s="22" t="s">
        <v>135</v>
      </c>
      <c r="C6" s="23" t="s">
        <v>136</v>
      </c>
      <c r="D6" s="24" t="s">
        <v>137</v>
      </c>
    </row>
    <row r="7" customFormat="false" ht="94.5" hidden="false" customHeight="true" outlineLevel="0" collapsed="false">
      <c r="A7" s="21" t="s">
        <v>138</v>
      </c>
      <c r="B7" s="22" t="s">
        <v>139</v>
      </c>
      <c r="C7" s="23" t="s">
        <v>140</v>
      </c>
      <c r="D7" s="24" t="s">
        <v>141</v>
      </c>
    </row>
    <row r="8" customFormat="false" ht="94.5" hidden="false" customHeight="true" outlineLevel="0" collapsed="false">
      <c r="A8" s="21" t="s">
        <v>103</v>
      </c>
      <c r="B8" s="22" t="s">
        <v>142</v>
      </c>
      <c r="C8" s="23" t="s">
        <v>143</v>
      </c>
      <c r="D8" s="24" t="s">
        <v>144</v>
      </c>
    </row>
    <row r="9" customFormat="false" ht="94.5" hidden="false" customHeight="true" outlineLevel="0" collapsed="false">
      <c r="A9" s="21" t="s">
        <v>70</v>
      </c>
      <c r="B9" s="22" t="s">
        <v>145</v>
      </c>
      <c r="C9" s="23" t="s">
        <v>146</v>
      </c>
      <c r="D9" s="24" t="s">
        <v>147</v>
      </c>
    </row>
    <row r="10" customFormat="false" ht="94.5" hidden="false" customHeight="true" outlineLevel="0" collapsed="false">
      <c r="A10" s="21" t="s">
        <v>110</v>
      </c>
      <c r="B10" s="22" t="s">
        <v>148</v>
      </c>
      <c r="C10" s="23" t="s">
        <v>149</v>
      </c>
      <c r="D10" s="24" t="s">
        <v>150</v>
      </c>
    </row>
    <row r="11" customFormat="false" ht="94.5" hidden="false" customHeight="true" outlineLevel="0" collapsed="false">
      <c r="A11" s="21" t="s">
        <v>114</v>
      </c>
      <c r="B11" s="22" t="s">
        <v>75</v>
      </c>
      <c r="C11" s="23" t="s">
        <v>151</v>
      </c>
      <c r="D11" s="24" t="s">
        <v>116</v>
      </c>
    </row>
    <row r="13" customFormat="false" ht="14.25" hidden="false" customHeight="false" outlineLevel="0" collapsed="false">
      <c r="A13" s="25" t="s">
        <v>117</v>
      </c>
      <c r="B13" s="25"/>
      <c r="C13" s="25"/>
      <c r="D13" s="25"/>
    </row>
    <row r="14" customFormat="false" ht="14.25" hidden="false" customHeight="false" outlineLevel="0" collapsed="false">
      <c r="A14" s="21" t="s">
        <v>118</v>
      </c>
      <c r="B14" s="26" t="s">
        <v>152</v>
      </c>
      <c r="C14" s="26"/>
      <c r="D14" s="26"/>
    </row>
    <row r="15" customFormat="false" ht="14.25" hidden="false" customHeight="false" outlineLevel="0" collapsed="false">
      <c r="A15" s="21" t="s">
        <v>120</v>
      </c>
      <c r="B15" s="26" t="s">
        <v>153</v>
      </c>
      <c r="C15" s="26"/>
      <c r="D15" s="26"/>
    </row>
    <row r="16" customFormat="false" ht="14.25" hidden="false" customHeight="false" outlineLevel="0" collapsed="false">
      <c r="A16" s="21" t="s">
        <v>122</v>
      </c>
      <c r="B16" s="26" t="s">
        <v>154</v>
      </c>
      <c r="C16" s="26"/>
      <c r="D16" s="26"/>
    </row>
    <row r="17" customFormat="false" ht="14.25" hidden="false" customHeight="false" outlineLevel="0" collapsed="false">
      <c r="A17" s="21" t="s">
        <v>124</v>
      </c>
      <c r="B17" s="26" t="s">
        <v>155</v>
      </c>
      <c r="C17" s="26"/>
      <c r="D17" s="26"/>
    </row>
    <row r="18" customFormat="false" ht="14.25" hidden="false" customHeight="false" outlineLevel="0" collapsed="false">
      <c r="A18" s="21" t="s">
        <v>126</v>
      </c>
      <c r="B18" s="26" t="s">
        <v>156</v>
      </c>
      <c r="C18" s="26"/>
      <c r="D18" s="26"/>
    </row>
    <row r="20" customFormat="false" ht="14.25" hidden="false" customHeight="true" outlineLevel="0" collapsed="false">
      <c r="A20" s="10" t="s">
        <v>157</v>
      </c>
      <c r="B20" s="10"/>
      <c r="C20" s="10"/>
      <c r="D20" s="10"/>
    </row>
    <row r="21" customFormat="false" ht="14.25" hidden="false" customHeight="false" outlineLevel="0" collapsed="false">
      <c r="A21" s="10"/>
      <c r="B21" s="10"/>
      <c r="C21" s="10"/>
      <c r="D21" s="10"/>
    </row>
    <row r="22" customFormat="false" ht="14.25" hidden="false" customHeight="false" outlineLevel="0" collapsed="false">
      <c r="A22" s="10"/>
      <c r="B22" s="10"/>
      <c r="C22" s="10"/>
      <c r="D22" s="10"/>
    </row>
    <row r="23" customFormat="false" ht="14.25" hidden="false" customHeight="false" outlineLevel="0" collapsed="false">
      <c r="A23" s="10"/>
      <c r="B23" s="10"/>
      <c r="C23" s="10"/>
      <c r="D23" s="10"/>
    </row>
    <row r="24" customFormat="false" ht="14.25" hidden="false" customHeight="false" outlineLevel="0" collapsed="false">
      <c r="A24" s="10"/>
      <c r="B24" s="10"/>
      <c r="C24" s="10"/>
      <c r="D24" s="10"/>
    </row>
  </sheetData>
  <mergeCells count="8">
    <mergeCell ref="A1:D1"/>
    <mergeCell ref="A13:D13"/>
    <mergeCell ref="B14:D14"/>
    <mergeCell ref="B15:D15"/>
    <mergeCell ref="B16:D16"/>
    <mergeCell ref="B17:D17"/>
    <mergeCell ref="B18:D18"/>
    <mergeCell ref="A20:D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6796875" defaultRowHeight="14.2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46"/>
  </cols>
  <sheetData>
    <row r="1" customFormat="false" ht="21.75" hidden="false" customHeight="true" outlineLevel="0" collapsed="false">
      <c r="A1" s="12" t="s">
        <v>158</v>
      </c>
      <c r="B1" s="12"/>
      <c r="C1" s="12"/>
      <c r="D1" s="12"/>
    </row>
    <row r="3" customFormat="false" ht="27" hidden="false" customHeight="true" outlineLevel="0" collapsed="false">
      <c r="A3" s="20" t="s">
        <v>87</v>
      </c>
      <c r="B3" s="20" t="s">
        <v>88</v>
      </c>
      <c r="C3" s="20" t="s">
        <v>89</v>
      </c>
      <c r="D3" s="20" t="s">
        <v>90</v>
      </c>
    </row>
    <row r="4" customFormat="false" ht="94.5" hidden="false" customHeight="true" outlineLevel="0" collapsed="false">
      <c r="A4" s="21" t="s">
        <v>60</v>
      </c>
      <c r="B4" s="22" t="s">
        <v>159</v>
      </c>
      <c r="C4" s="23" t="s">
        <v>160</v>
      </c>
      <c r="D4" s="24" t="s">
        <v>161</v>
      </c>
    </row>
    <row r="5" customFormat="false" ht="94.5" hidden="false" customHeight="true" outlineLevel="0" collapsed="false">
      <c r="A5" s="21" t="s">
        <v>62</v>
      </c>
      <c r="B5" s="22" t="s">
        <v>162</v>
      </c>
      <c r="C5" s="23" t="s">
        <v>163</v>
      </c>
      <c r="D5" s="24" t="s">
        <v>164</v>
      </c>
    </row>
    <row r="6" customFormat="false" ht="94.5" hidden="false" customHeight="true" outlineLevel="0" collapsed="false">
      <c r="A6" s="21" t="s">
        <v>64</v>
      </c>
      <c r="B6" s="22" t="s">
        <v>165</v>
      </c>
      <c r="C6" s="23" t="s">
        <v>166</v>
      </c>
      <c r="D6" s="24" t="s">
        <v>167</v>
      </c>
    </row>
    <row r="7" customFormat="false" ht="94.5" hidden="false" customHeight="true" outlineLevel="0" collapsed="false">
      <c r="A7" s="21" t="s">
        <v>66</v>
      </c>
      <c r="B7" s="22" t="s">
        <v>168</v>
      </c>
      <c r="C7" s="23" t="s">
        <v>169</v>
      </c>
      <c r="D7" s="24" t="s">
        <v>170</v>
      </c>
    </row>
    <row r="8" customFormat="false" ht="94.5" hidden="false" customHeight="true" outlineLevel="0" collapsed="false">
      <c r="A8" s="21" t="s">
        <v>103</v>
      </c>
      <c r="B8" s="22" t="s">
        <v>171</v>
      </c>
      <c r="C8" s="23" t="s">
        <v>172</v>
      </c>
      <c r="D8" s="24" t="s">
        <v>173</v>
      </c>
    </row>
    <row r="9" customFormat="false" ht="94.5" hidden="false" customHeight="true" outlineLevel="0" collapsed="false">
      <c r="A9" s="21" t="s">
        <v>70</v>
      </c>
      <c r="B9" s="22" t="s">
        <v>174</v>
      </c>
      <c r="C9" s="23" t="s">
        <v>175</v>
      </c>
      <c r="D9" s="24" t="s">
        <v>176</v>
      </c>
    </row>
    <row r="10" customFormat="false" ht="94.5" hidden="false" customHeight="true" outlineLevel="0" collapsed="false">
      <c r="A10" s="21" t="s">
        <v>110</v>
      </c>
      <c r="B10" s="22" t="s">
        <v>177</v>
      </c>
      <c r="C10" s="23" t="s">
        <v>178</v>
      </c>
      <c r="D10" s="24" t="s">
        <v>179</v>
      </c>
    </row>
    <row r="11" customFormat="false" ht="94.5" hidden="false" customHeight="true" outlineLevel="0" collapsed="false">
      <c r="A11" s="21" t="s">
        <v>114</v>
      </c>
      <c r="B11" s="22" t="s">
        <v>75</v>
      </c>
      <c r="C11" s="23" t="s">
        <v>151</v>
      </c>
      <c r="D11" s="24" t="s">
        <v>116</v>
      </c>
    </row>
    <row r="13" customFormat="false" ht="14.25" hidden="false" customHeight="false" outlineLevel="0" collapsed="false">
      <c r="A13" s="25" t="s">
        <v>117</v>
      </c>
      <c r="B13" s="25"/>
      <c r="C13" s="25"/>
      <c r="D13" s="25"/>
    </row>
    <row r="14" customFormat="false" ht="14.25" hidden="false" customHeight="false" outlineLevel="0" collapsed="false">
      <c r="A14" s="21" t="s">
        <v>118</v>
      </c>
      <c r="B14" s="27" t="s">
        <v>180</v>
      </c>
      <c r="C14" s="27"/>
      <c r="D14" s="27"/>
    </row>
    <row r="15" customFormat="false" ht="14.25" hidden="false" customHeight="false" outlineLevel="0" collapsed="false">
      <c r="A15" s="21" t="s">
        <v>120</v>
      </c>
      <c r="B15" s="27" t="s">
        <v>181</v>
      </c>
      <c r="C15" s="27"/>
      <c r="D15" s="27"/>
    </row>
    <row r="16" customFormat="false" ht="14.25" hidden="false" customHeight="false" outlineLevel="0" collapsed="false">
      <c r="A16" s="21" t="s">
        <v>122</v>
      </c>
      <c r="B16" s="27" t="s">
        <v>182</v>
      </c>
      <c r="C16" s="27"/>
      <c r="D16" s="27"/>
    </row>
    <row r="17" customFormat="false" ht="14.25" hidden="false" customHeight="false" outlineLevel="0" collapsed="false">
      <c r="A17" s="21" t="s">
        <v>183</v>
      </c>
      <c r="B17" s="27" t="s">
        <v>184</v>
      </c>
      <c r="C17" s="27"/>
      <c r="D17" s="27"/>
    </row>
    <row r="18" customFormat="false" ht="14.25" hidden="false" customHeight="false" outlineLevel="0" collapsed="false">
      <c r="A18" s="21" t="s">
        <v>124</v>
      </c>
      <c r="B18" s="27" t="s">
        <v>185</v>
      </c>
      <c r="C18" s="27"/>
      <c r="D18" s="27"/>
    </row>
    <row r="19" customFormat="false" ht="14.25" hidden="false" customHeight="false" outlineLevel="0" collapsed="false">
      <c r="A19" s="21" t="s">
        <v>126</v>
      </c>
      <c r="B19" s="27" t="s">
        <v>186</v>
      </c>
      <c r="C19" s="27"/>
      <c r="D19" s="27"/>
    </row>
    <row r="21" customFormat="false" ht="14.25" hidden="false" customHeight="true" outlineLevel="0" collapsed="false">
      <c r="A21" s="10" t="s">
        <v>187</v>
      </c>
      <c r="B21" s="10"/>
      <c r="C21" s="10"/>
      <c r="D21" s="10"/>
    </row>
    <row r="22" customFormat="false" ht="14.25" hidden="false" customHeight="false" outlineLevel="0" collapsed="false">
      <c r="A22" s="10"/>
      <c r="B22" s="10"/>
      <c r="C22" s="10"/>
      <c r="D22" s="10"/>
    </row>
    <row r="23" customFormat="false" ht="14.25" hidden="false" customHeight="false" outlineLevel="0" collapsed="false">
      <c r="A23" s="10"/>
      <c r="B23" s="10"/>
      <c r="C23" s="10"/>
      <c r="D23" s="10"/>
    </row>
    <row r="24" customFormat="false" ht="14.25" hidden="false" customHeight="false" outlineLevel="0" collapsed="false">
      <c r="A24" s="10"/>
      <c r="B24" s="10"/>
      <c r="C24" s="10"/>
      <c r="D24" s="10"/>
    </row>
    <row r="25" customFormat="false" ht="14.25" hidden="false" customHeight="false" outlineLevel="0" collapsed="false">
      <c r="A25" s="10"/>
      <c r="B25" s="10"/>
      <c r="C25" s="10"/>
      <c r="D25" s="10"/>
    </row>
    <row r="27" customFormat="false" ht="15" hidden="false" customHeight="true" outlineLevel="0" collapsed="false">
      <c r="A27" s="28" t="s">
        <v>188</v>
      </c>
      <c r="B27" s="28"/>
      <c r="C27" s="28"/>
      <c r="D27" s="28"/>
    </row>
    <row r="28" customFormat="false" ht="14.25" hidden="false" customHeight="false" outlineLevel="0" collapsed="false">
      <c r="A28" s="29" t="s">
        <v>189</v>
      </c>
      <c r="B28" s="29"/>
      <c r="C28" s="29" t="s">
        <v>190</v>
      </c>
      <c r="D28" s="29"/>
    </row>
    <row r="29" customFormat="false" ht="54.75" hidden="false" customHeight="true" outlineLevel="0" collapsed="false">
      <c r="A29" s="30" t="s">
        <v>191</v>
      </c>
      <c r="B29" s="30"/>
      <c r="C29" s="31" t="s">
        <v>192</v>
      </c>
      <c r="D29" s="31"/>
    </row>
    <row r="30" customFormat="false" ht="54.75" hidden="false" customHeight="true" outlineLevel="0" collapsed="false">
      <c r="A30" s="30" t="s">
        <v>193</v>
      </c>
      <c r="B30" s="30"/>
      <c r="C30" s="31" t="s">
        <v>194</v>
      </c>
      <c r="D30" s="31"/>
    </row>
    <row r="31" customFormat="false" ht="54.75" hidden="false" customHeight="true" outlineLevel="0" collapsed="false">
      <c r="A31" s="30" t="s">
        <v>195</v>
      </c>
      <c r="B31" s="30"/>
      <c r="C31" s="31" t="s">
        <v>196</v>
      </c>
      <c r="D31" s="31"/>
    </row>
    <row r="32" customFormat="false" ht="54.75" hidden="false" customHeight="true" outlineLevel="0" collapsed="false">
      <c r="A32" s="30" t="s">
        <v>197</v>
      </c>
      <c r="B32" s="30"/>
      <c r="C32" s="31" t="s">
        <v>198</v>
      </c>
      <c r="D32" s="31"/>
    </row>
    <row r="33" customFormat="false" ht="54.75" hidden="false" customHeight="true" outlineLevel="0" collapsed="false">
      <c r="A33" s="30" t="s">
        <v>199</v>
      </c>
      <c r="B33" s="30"/>
      <c r="C33" s="31" t="s">
        <v>200</v>
      </c>
      <c r="D33" s="31"/>
    </row>
    <row r="34" customFormat="false" ht="54.75" hidden="false" customHeight="true" outlineLevel="0" collapsed="false">
      <c r="A34" s="30" t="s">
        <v>201</v>
      </c>
      <c r="B34" s="30"/>
      <c r="C34" s="31" t="s">
        <v>202</v>
      </c>
      <c r="D34" s="31"/>
    </row>
    <row r="35" customFormat="false" ht="54.75" hidden="false" customHeight="true" outlineLevel="0" collapsed="false">
      <c r="A35" s="30" t="s">
        <v>203</v>
      </c>
      <c r="B35" s="30"/>
      <c r="C35" s="31" t="s">
        <v>204</v>
      </c>
      <c r="D35" s="31"/>
    </row>
  </sheetData>
  <mergeCells count="26">
    <mergeCell ref="A1:D1"/>
    <mergeCell ref="A13:D13"/>
    <mergeCell ref="B14:D14"/>
    <mergeCell ref="B15:D15"/>
    <mergeCell ref="B16:D16"/>
    <mergeCell ref="B17:D17"/>
    <mergeCell ref="B18:D18"/>
    <mergeCell ref="B19:D19"/>
    <mergeCell ref="A21:D25"/>
    <mergeCell ref="A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2026-09-26T05:20:17Z</dcterms:created>
  <dc:creator>openpyxl</dc:creator>
  <dc:description/>
  <dc:language>en-US</dc:language>
  <cp:lastModifiedBy>Søren Emil Kragh Rasmussen</cp:lastModifiedBy>
  <dcterms:modified xsi:type="dcterms:W3CDTF">2026-10-16T10:11:27Z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